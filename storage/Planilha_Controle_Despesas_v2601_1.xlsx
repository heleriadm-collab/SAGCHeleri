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bsidian\heleri\storage\"/>
    </mc:Choice>
  </mc:AlternateContent>
  <xr:revisionPtr revIDLastSave="0" documentId="13_ncr:1_{734B9A13-D770-4AD3-A1CB-6EBBB2BEB85B}" xr6:coauthVersionLast="47" xr6:coauthVersionMax="47" xr10:uidLastSave="{00000000-0000-0000-0000-000000000000}"/>
  <bookViews>
    <workbookView xWindow="-120" yWindow="-120" windowWidth="20730" windowHeight="11160" xr2:uid="{18AB48FE-6D0A-408B-81DD-88C3E4CE2477}"/>
  </bookViews>
  <sheets>
    <sheet name="2601" sheetId="1" r:id="rId1"/>
  </sheets>
  <definedNames>
    <definedName name="_xlnm._FilterDatabase" localSheetId="0" hidden="1">'2601'!$A$2:$I$2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" i="1" l="1"/>
  <c r="G1" i="1"/>
  <c r="F1" i="1"/>
  <c r="A1" i="1"/>
  <c r="I1" i="1"/>
  <c r="E1" i="1"/>
</calcChain>
</file>

<file path=xl/sharedStrings.xml><?xml version="1.0" encoding="utf-8"?>
<sst xmlns="http://schemas.openxmlformats.org/spreadsheetml/2006/main" count="33" uniqueCount="25">
  <si>
    <t>ID</t>
  </si>
  <si>
    <t>data</t>
  </si>
  <si>
    <t>valor</t>
  </si>
  <si>
    <t>reembolso</t>
  </si>
  <si>
    <t>origem</t>
  </si>
  <si>
    <t>necessidade</t>
  </si>
  <si>
    <t>itens</t>
  </si>
  <si>
    <t>fornecedor</t>
  </si>
  <si>
    <t>nf</t>
  </si>
  <si>
    <t>síndica</t>
  </si>
  <si>
    <t>EBAZAR.COM.BR</t>
  </si>
  <si>
    <t>20260121_Limpador Pós Obra Vodocia Remove Cimento E Rejuntes 5 Litros</t>
  </si>
  <si>
    <t>sim</t>
  </si>
  <si>
    <t>Q260121_1804 - Sobre Piso Portaria Interna - Restauração</t>
  </si>
  <si>
    <t>Mangueira De Incendio Para Hidrante Tipo 1 1.1/2
15 Metros</t>
  </si>
  <si>
    <t>SLS Suprimentos Maritimos</t>
  </si>
  <si>
    <t>Q260106_2247 Aquisição Sacos de Lixo</t>
  </si>
  <si>
    <t>NF260121_Saco De Lixo 240 Litros Preto Reforçado 115x120cm C_50un</t>
  </si>
  <si>
    <t>NF260121_Mangueira De Incêndio Para Hidrante Tipo 1 1 1_2 15m Platina</t>
  </si>
  <si>
    <t>Limpador Pós Obra Vodocia Remove Cimento E Rejuntes 5 Litros</t>
  </si>
  <si>
    <t>Saco De Lixo 240 Litros Preto Reforçado 115x120cm C_50un</t>
  </si>
  <si>
    <t>COMETA GAL ROCA</t>
  </si>
  <si>
    <t>NF260121_Material Restauração Piso Portaria Interna</t>
  </si>
  <si>
    <t>assento astra almofadado tpk;kit pintura 3pcs 1576 tigre antirrespingo;lixas diversas; espátula cabo azul hf 06cm; limpa mármore granito 1lt</t>
  </si>
  <si>
    <t>Q260121_2116 Ausência Mangueira Incêndio Hall Andar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</si>
</sst>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 applyAlignment="1">
      <alignment horizontal="center"/>
    </xf>
    <xf numFmtId="44" fontId="2" fillId="0" borderId="0" xfId="1" applyFont="1" applyAlignment="1">
      <alignment horizontal="center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4" fontId="0" fillId="2" borderId="0" xfId="1" applyFont="1" applyFill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F61D-5328-424E-AC09-9079298705BC}">
  <dimension ref="A1:I6"/>
  <sheetViews>
    <sheetView tabSelected="1" zoomScale="145" zoomScaleNormal="145" workbookViewId="0">
      <pane ySplit="2" topLeftCell="A3" activePane="bottomLeft" state="frozen"/>
      <selection pane="bottomLeft" activeCell="G7" sqref="G7"/>
    </sheetView>
  </sheetViews>
  <sheetFormatPr defaultRowHeight="15" x14ac:dyDescent="0.25"/>
  <cols>
    <col min="1" max="1" width="2.85546875" style="10" customWidth="1"/>
    <col min="2" max="2" width="8.7109375" style="10" customWidth="1"/>
    <col min="3" max="3" width="12.28515625" style="10" customWidth="1"/>
    <col min="4" max="4" width="15.7109375" style="10" bestFit="1" customWidth="1"/>
    <col min="5" max="5" width="13.42578125" style="1" customWidth="1"/>
    <col min="6" max="6" width="19.5703125" style="4" customWidth="1"/>
    <col min="7" max="7" width="17.5703125" style="4" customWidth="1"/>
    <col min="8" max="8" width="23.5703125" style="4" customWidth="1"/>
    <col min="9" max="9" width="11.140625" style="5" customWidth="1"/>
  </cols>
  <sheetData>
    <row r="1" spans="1:9" x14ac:dyDescent="0.25">
      <c r="A1" s="10">
        <f>COUNTA(A3:A600)</f>
        <v>4</v>
      </c>
      <c r="E1" s="8">
        <f>SUM(E3:E600)</f>
        <v>670.64</v>
      </c>
      <c r="F1" s="5">
        <f>COUNTA(F3:F600)</f>
        <v>4</v>
      </c>
      <c r="G1" s="5">
        <f>COUNTA(G3:G600)</f>
        <v>4</v>
      </c>
      <c r="H1" s="5">
        <f>COUNTA(H3:H600)</f>
        <v>4</v>
      </c>
      <c r="I1" s="5">
        <f>COUNTIF(I3:I600,"sim")</f>
        <v>4</v>
      </c>
    </row>
    <row r="2" spans="1:9" s="3" customFormat="1" x14ac:dyDescent="0.25">
      <c r="A2" s="12" t="s">
        <v>0</v>
      </c>
      <c r="B2" s="12" t="s">
        <v>4</v>
      </c>
      <c r="C2" s="12" t="s">
        <v>1</v>
      </c>
      <c r="D2" s="12" t="s">
        <v>7</v>
      </c>
      <c r="E2" s="2" t="s">
        <v>2</v>
      </c>
      <c r="F2" s="6" t="s">
        <v>5</v>
      </c>
      <c r="G2" s="6" t="s">
        <v>8</v>
      </c>
      <c r="H2" s="6" t="s">
        <v>6</v>
      </c>
      <c r="I2" s="7" t="s">
        <v>3</v>
      </c>
    </row>
    <row r="3" spans="1:9" x14ac:dyDescent="0.25">
      <c r="A3" s="10">
        <v>1</v>
      </c>
      <c r="B3" s="10" t="s">
        <v>9</v>
      </c>
      <c r="C3" s="11">
        <v>46042</v>
      </c>
      <c r="D3" s="10" t="s">
        <v>10</v>
      </c>
      <c r="E3" s="1">
        <v>55.9</v>
      </c>
      <c r="F3" s="4" t="s">
        <v>13</v>
      </c>
      <c r="G3" s="4" t="s">
        <v>11</v>
      </c>
      <c r="H3" s="4" t="s">
        <v>19</v>
      </c>
      <c r="I3" s="5" t="s">
        <v>12</v>
      </c>
    </row>
    <row r="4" spans="1:9" ht="19.5" customHeight="1" x14ac:dyDescent="0.25">
      <c r="A4" s="10">
        <v>2</v>
      </c>
      <c r="B4" s="10" t="s">
        <v>9</v>
      </c>
      <c r="C4" s="11">
        <v>46042</v>
      </c>
      <c r="D4" s="10" t="s">
        <v>10</v>
      </c>
      <c r="E4" s="1">
        <v>204</v>
      </c>
      <c r="F4" s="4" t="s">
        <v>24</v>
      </c>
      <c r="G4" s="4" t="s">
        <v>18</v>
      </c>
      <c r="H4" s="9" t="s">
        <v>14</v>
      </c>
      <c r="I4" s="5" t="s">
        <v>12</v>
      </c>
    </row>
    <row r="5" spans="1:9" x14ac:dyDescent="0.25">
      <c r="A5" s="10">
        <v>3</v>
      </c>
      <c r="B5" s="10" t="s">
        <v>9</v>
      </c>
      <c r="C5" s="11">
        <v>46029</v>
      </c>
      <c r="D5" s="10" t="s">
        <v>15</v>
      </c>
      <c r="E5" s="1">
        <v>89.14</v>
      </c>
      <c r="F5" s="4" t="s">
        <v>16</v>
      </c>
      <c r="G5" s="4" t="s">
        <v>17</v>
      </c>
      <c r="H5" s="4" t="s">
        <v>20</v>
      </c>
      <c r="I5" s="5" t="s">
        <v>12</v>
      </c>
    </row>
    <row r="6" spans="1:9" x14ac:dyDescent="0.25">
      <c r="A6" s="10">
        <v>4</v>
      </c>
      <c r="B6" s="10" t="s">
        <v>9</v>
      </c>
      <c r="C6" s="11">
        <v>46043</v>
      </c>
      <c r="D6" s="10" t="s">
        <v>21</v>
      </c>
      <c r="E6" s="1">
        <v>321.60000000000002</v>
      </c>
      <c r="F6" s="4" t="s">
        <v>13</v>
      </c>
      <c r="G6" s="4" t="s">
        <v>22</v>
      </c>
      <c r="H6" s="4" t="s">
        <v>23</v>
      </c>
      <c r="I6" s="5" t="s">
        <v>12</v>
      </c>
    </row>
  </sheetData>
  <autoFilter ref="A2:I2" xr:uid="{CE75F61D-5328-424E-AC09-9079298705BC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2601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 Conrado de Santana</dc:creator>
  <cp:lastModifiedBy>Leonardo Souza Conrado de Santana</cp:lastModifiedBy>
  <dcterms:created xsi:type="dcterms:W3CDTF">2026-01-21T21:29:40Z</dcterms:created>
  <dcterms:modified xsi:type="dcterms:W3CDTF">2026-01-22T00:41:19Z</dcterms:modified>
</cp:coreProperties>
</file>