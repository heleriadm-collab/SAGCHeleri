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522CD303-F346-40FA-993B-058D7A18487C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<sst xmlns="http://schemas.openxmlformats.org/spreadsheetml/2006/main" count="109" uniqueCount="62">
  <si>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</si>
  <si>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</si>
  <si>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</si>
  <si>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</si>
  <si>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</si>
  <si>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</si>
  <si>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</si>
  <si>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</si>
  <si>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</si>
  <si>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</si>
  <si>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</si>
  <si>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</si>
  <si>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</si>
  <si>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</si>
  <si>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</si>
  <si>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</si>
  <si>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</si>
  <si>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</si>
  <si>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</si>
  <si>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</si>
  <si>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</si>
  <si>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</si>
  <si>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</si>
  <si>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</si>
  <si>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</si>
  <si>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</si>
  <si>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</si>
  <si>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</si>
  <si>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</si>
  <si>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</si>
  <si>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</si>
  <si>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</si>
  <si>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</si>
  <si>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</si>
  <si>
    <t>estorno sobre NF260121_Material Restauração Piso Portaria Interna</t>
  </si>
  <si>
    <t>Assento astra almofadado tpk;</t>
  </si>
  <si>
    <t>Q260121_2128 Tampo Vaso Sanitário Quarto Zelador</t>
  </si>
  <si>
    <t>TOTAL</t>
  </si>
  <si>
    <t>Arrumaí</t>
  </si>
  <si>
    <t>Q260209_2225 Porta Terraço Hall</t>
  </si>
  <si>
    <t>Conserto Porta Terraço Hall Cobertura</t>
  </si>
  <si>
    <t>NF260219_Recibo_Arrumaí_Conserto_Porta_Terraço_Q260209_2225</t>
  </si>
  <si>
    <t>Caiman Distribuidora</t>
  </si>
  <si>
    <t>pagto reembolso</t>
  </si>
  <si>
    <t>NF260218_Caiman_Distribuidora_Cera_Liquida_000.537.484</t>
  </si>
  <si>
    <t>Cera Liquida Pretita 2L</t>
  </si>
  <si>
    <t>Q260302_1955 Fechadura Porta Terraço Danificada</t>
  </si>
  <si>
    <t>NF260225_Trava_Trinco_Para_Porta_Cadeado_90_Em_Aço_Inox_Fecho_Anti Roubo_Prateado</t>
  </si>
  <si>
    <t>trava para porta aço inox fecho anti-roubo prateado</t>
  </si>
  <si>
    <t>Supermercado Mundial</t>
  </si>
  <si>
    <t>NF260305_Material_Limpeza_Pedido_Zelador</t>
  </si>
  <si>
    <t>2602_Atividades_Zeladoria_fev26_v1</t>
  </si>
  <si>
    <t>(1) 1x DESINF. SANOL PINHO LAVANDA 2L — R$ 5,99 — R$ 5,99 ;(2) 1x DESINF. SANOL PINHO LAVANDA 2L — R$ 5,99 — R$ 5,99 ;(3) 1x LIMPA VIDROS LIMPOL 500ML — R$ 5,99 — R$ 5,99;(4) 1x LIMPA VIDROS LIMPOL 500ML — R$ 5,99 — R$ 5,99; (5) 1x L. ROUPAS PO SURF SEMI LAVANDA 800G — R$ 8,98 — R$ 8,98; (6) 1x LUVA LIMPANO MULTIUSO VISH G REF.35220 — R$ 9,35 — R$ 9,35</t>
  </si>
  <si>
    <t>NF260309_Recibo_Arrumaí_Servico_Conserto_Porta_Alumínio</t>
  </si>
  <si>
    <t>prestação de serviços de manutenção em porta de alumínio</t>
  </si>
  <si>
    <t>Serralheria JBV</t>
  </si>
  <si>
    <t>Q260316_1323 Janela do Terraço Com Avaria</t>
  </si>
  <si>
    <t>NF260316_Massa_Vidro_Serralheria_JBV</t>
  </si>
  <si>
    <t>1Kg Massa vidro</t>
  </si>
  <si>
    <t>Q260423_2044 Retirada Lixo Acumulado - Ausência Zelador Período 1 semana</t>
  </si>
  <si>
    <t>NF260425_Serviço_Retirada_Lixo_Sr_Valdeci</t>
  </si>
  <si>
    <t>serviço retirada lixo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</si>
</sst>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16"/>
  <sheetViews>
    <sheetView tabSelected="1" zoomScale="115" zoomScaleNormal="115" workbookViewId="0">
      <pane ySplit="2" topLeftCell="A3" activePane="bottomLeft" state="frozen"/>
      <selection pane="bottomLeft" activeCell="J17" sqref="J17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14</v>
      </c>
      <c r="D1" s="10" t="s">
        <v>37</v>
      </c>
      <c r="E1" s="8">
        <f>SUM(E3:E600)</f>
        <v>1067.8699999999999</v>
      </c>
      <c r="F1" s="5">
        <f>COUNTA(F3:F600)</f>
        <v>14</v>
      </c>
      <c r="G1" s="5">
        <f>COUNTA(G3:G600)</f>
        <v>14</v>
      </c>
      <c r="H1" s="5">
        <f>COUNTA(H3:H600)</f>
        <v>13</v>
      </c>
      <c r="I1" s="5">
        <f>COUNTIF(I3:I600,"sim")</f>
        <v>12</v>
      </c>
      <c r="J1" s="14" t="s">
        <v>43</v>
      </c>
      <c r="K1" s="14"/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-204.44</v>
      </c>
      <c r="F8" s="4" t="s">
        <v>29</v>
      </c>
      <c r="G8" s="4" t="s">
        <v>30</v>
      </c>
      <c r="H8" s="9" t="s">
        <v>14</v>
      </c>
      <c r="I8" s="5" t="s">
        <v>32</v>
      </c>
      <c r="J8" s="4" t="s">
        <v>32</v>
      </c>
    </row>
    <row r="9" spans="1:11" x14ac:dyDescent="0.25">
      <c r="A9" s="10">
        <v>7</v>
      </c>
      <c r="B9" s="10" t="s">
        <v>9</v>
      </c>
      <c r="C9" s="11">
        <v>46056</v>
      </c>
      <c r="D9" s="10" t="s">
        <v>21</v>
      </c>
      <c r="E9" s="1">
        <v>-114.9</v>
      </c>
      <c r="F9" s="4" t="s">
        <v>36</v>
      </c>
      <c r="G9" s="4" t="s">
        <v>34</v>
      </c>
      <c r="H9" s="4" t="s">
        <v>35</v>
      </c>
      <c r="I9" s="5" t="s">
        <v>32</v>
      </c>
    </row>
    <row r="10" spans="1:11" x14ac:dyDescent="0.25">
      <c r="A10" s="10">
        <v>8</v>
      </c>
      <c r="B10" s="10" t="s">
        <v>9</v>
      </c>
      <c r="C10" s="11">
        <v>46072</v>
      </c>
      <c r="D10" s="10" t="s">
        <v>38</v>
      </c>
      <c r="E10" s="1">
        <v>150</v>
      </c>
      <c r="F10" s="4" t="s">
        <v>39</v>
      </c>
      <c r="G10" s="4" t="s">
        <v>41</v>
      </c>
      <c r="H10" s="4" t="s">
        <v>40</v>
      </c>
      <c r="I10" s="5" t="s">
        <v>12</v>
      </c>
      <c r="J10" s="4" t="s">
        <v>32</v>
      </c>
    </row>
    <row r="11" spans="1:11" x14ac:dyDescent="0.25">
      <c r="A11" s="10">
        <v>9</v>
      </c>
      <c r="B11" s="10" t="s">
        <v>9</v>
      </c>
      <c r="C11" s="11">
        <v>46071</v>
      </c>
      <c r="D11" s="10" t="s">
        <v>42</v>
      </c>
      <c r="E11" s="1">
        <v>28.02</v>
      </c>
      <c r="F11" s="4" t="s">
        <v>13</v>
      </c>
      <c r="G11" s="4" t="s">
        <v>44</v>
      </c>
      <c r="H11" s="4" t="s">
        <v>45</v>
      </c>
      <c r="I11" s="5" t="s">
        <v>12</v>
      </c>
      <c r="J11" s="4" t="s">
        <v>32</v>
      </c>
    </row>
    <row r="12" spans="1:11" x14ac:dyDescent="0.25">
      <c r="A12" s="10">
        <v>10</v>
      </c>
      <c r="B12" s="10" t="s">
        <v>9</v>
      </c>
      <c r="C12" s="11">
        <v>46078</v>
      </c>
      <c r="D12" s="10" t="s">
        <v>10</v>
      </c>
      <c r="E12" s="1">
        <v>34.76</v>
      </c>
      <c r="F12" s="4" t="s">
        <v>46</v>
      </c>
      <c r="G12" s="4" t="s">
        <v>47</v>
      </c>
      <c r="H12" s="4" t="s">
        <v>48</v>
      </c>
      <c r="I12" s="5" t="s">
        <v>12</v>
      </c>
      <c r="J12" s="4" t="s">
        <v>32</v>
      </c>
    </row>
    <row r="13" spans="1:11" x14ac:dyDescent="0.25">
      <c r="A13" s="10">
        <v>11</v>
      </c>
      <c r="B13" s="10" t="s">
        <v>9</v>
      </c>
      <c r="C13" s="11">
        <v>46086</v>
      </c>
      <c r="D13" s="10" t="s">
        <v>49</v>
      </c>
      <c r="E13" s="1">
        <v>42.29</v>
      </c>
      <c r="F13" s="4" t="s">
        <v>51</v>
      </c>
      <c r="G13" s="4" t="s">
        <v>50</v>
      </c>
      <c r="H13" s="4" t="s">
        <v>52</v>
      </c>
      <c r="I13" s="5" t="s">
        <v>12</v>
      </c>
      <c r="J13" s="4" t="s">
        <v>32</v>
      </c>
    </row>
    <row r="14" spans="1:11" x14ac:dyDescent="0.25">
      <c r="A14" s="10">
        <v>12</v>
      </c>
      <c r="B14" s="10" t="s">
        <v>9</v>
      </c>
      <c r="C14" s="11">
        <v>46084</v>
      </c>
      <c r="D14" s="10" t="s">
        <v>38</v>
      </c>
      <c r="E14" s="1">
        <v>51.5</v>
      </c>
      <c r="F14" s="4" t="s">
        <v>46</v>
      </c>
      <c r="G14" s="4" t="s">
        <v>53</v>
      </c>
      <c r="H14" s="4" t="s">
        <v>54</v>
      </c>
      <c r="I14" s="5" t="s">
        <v>12</v>
      </c>
      <c r="J14" s="4" t="s">
        <v>32</v>
      </c>
    </row>
    <row r="15" spans="1:11" x14ac:dyDescent="0.25">
      <c r="A15" s="10">
        <v>13</v>
      </c>
      <c r="B15" s="10" t="s">
        <v>9</v>
      </c>
      <c r="C15" s="11">
        <v>46092</v>
      </c>
      <c r="D15" s="10" t="s">
        <v>55</v>
      </c>
      <c r="E15" s="1">
        <v>10</v>
      </c>
      <c r="F15" s="4" t="s">
        <v>56</v>
      </c>
      <c r="G15" s="4" t="s">
        <v>57</v>
      </c>
      <c r="H15" s="4" t="s">
        <v>58</v>
      </c>
      <c r="I15" s="5" t="s">
        <v>12</v>
      </c>
      <c r="J15" s="4" t="s">
        <v>32</v>
      </c>
    </row>
    <row r="16" spans="1:11" x14ac:dyDescent="0.25">
      <c r="A16" s="10">
        <v>14</v>
      </c>
      <c r="B16" s="10" t="s">
        <v>9</v>
      </c>
      <c r="C16" s="11">
        <v>46137</v>
      </c>
      <c r="D16" s="10" t="s">
        <v>25</v>
      </c>
      <c r="E16" s="13">
        <v>50</v>
      </c>
      <c r="F16" s="4" t="s">
        <v>59</v>
      </c>
      <c r="G16" s="4" t="s">
        <v>60</v>
      </c>
      <c r="H16" s="4" t="s">
        <v>61</v>
      </c>
      <c r="I16" s="5" t="s">
        <v>12</v>
      </c>
      <c r="J16" s="4" t="s">
        <v>32</v>
      </c>
    </row>
  </sheetData>
  <autoFilter ref="A2:I2" xr:uid="{CE75F61D-5328-424E-AC09-9079298705BC}"/>
  <mergeCells count="1">
    <mergeCell ref="J1:K1"/>
  </mergeCells>
  <conditionalFormatting sqref="E1:E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2026-04-27T17:36:08Z</dcterms:modified>
</cp:coreProperties>
</file>